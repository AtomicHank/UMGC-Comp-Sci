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TC Merrill\Desktop\"/>
    </mc:Choice>
  </mc:AlternateContent>
  <xr:revisionPtr revIDLastSave="0" documentId="13_ncr:1_{DB05EBC7-5C2E-4F5A-9C80-99CD374904FA}" xr6:coauthVersionLast="46" xr6:coauthVersionMax="46" xr10:uidLastSave="{00000000-0000-0000-0000-000000000000}"/>
  <bookViews>
    <workbookView xWindow="1245" yWindow="150" windowWidth="27015" windowHeight="15390" xr2:uid="{0FBD8857-B553-4087-B591-EE7953708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1" l="1"/>
  <c r="S4" i="1"/>
  <c r="T4" i="1"/>
  <c r="U4" i="1"/>
  <c r="V4" i="1"/>
  <c r="R5" i="1"/>
  <c r="S5" i="1"/>
  <c r="V5" i="1"/>
  <c r="R6" i="1"/>
  <c r="S6" i="1"/>
  <c r="T6" i="1"/>
  <c r="U6" i="1"/>
  <c r="V6" i="1"/>
  <c r="R7" i="1"/>
  <c r="S7" i="1"/>
  <c r="T7" i="1"/>
  <c r="U7" i="1"/>
  <c r="V7" i="1"/>
  <c r="R8" i="1"/>
  <c r="S8" i="1"/>
  <c r="T8" i="1"/>
  <c r="R9" i="1"/>
  <c r="S9" i="1"/>
  <c r="T9" i="1"/>
  <c r="U9" i="1"/>
  <c r="V9" i="1"/>
  <c r="U5" i="1"/>
  <c r="S3" i="1"/>
  <c r="T3" i="1"/>
  <c r="U3" i="1"/>
  <c r="V3" i="1"/>
  <c r="R3" i="1"/>
  <c r="T5" i="1"/>
  <c r="U8" i="1"/>
  <c r="V8" i="1"/>
  <c r="L10" i="1"/>
  <c r="L13" i="1" s="1"/>
  <c r="M10" i="1"/>
  <c r="M13" i="1" s="1"/>
  <c r="N10" i="1"/>
  <c r="N13" i="1" s="1"/>
  <c r="O10" i="1"/>
  <c r="O13" i="1" s="1"/>
  <c r="V14" i="1" s="1"/>
  <c r="K10" i="1"/>
  <c r="K13" i="1" s="1"/>
  <c r="R18" i="1" l="1"/>
  <c r="U17" i="1"/>
  <c r="T17" i="1"/>
  <c r="U18" i="1"/>
  <c r="U14" i="1"/>
  <c r="U13" i="1"/>
  <c r="U16" i="1"/>
  <c r="U15" i="1"/>
  <c r="S16" i="1"/>
  <c r="T13" i="1"/>
  <c r="T15" i="1"/>
  <c r="T14" i="1"/>
  <c r="T18" i="1"/>
  <c r="T16" i="1"/>
  <c r="T19" i="1"/>
  <c r="U19" i="1"/>
  <c r="S15" i="1"/>
  <c r="S14" i="1"/>
  <c r="S19" i="1"/>
  <c r="S18" i="1"/>
  <c r="S13" i="1"/>
  <c r="S17" i="1"/>
  <c r="V17" i="1"/>
  <c r="V13" i="1"/>
  <c r="V16" i="1"/>
  <c r="V19" i="1"/>
  <c r="V15" i="1"/>
  <c r="V18" i="1"/>
  <c r="R14" i="1"/>
  <c r="R17" i="1"/>
  <c r="R16" i="1"/>
  <c r="W16" i="1" s="1" a="1"/>
  <c r="W16" i="1" s="1"/>
  <c r="R19" i="1"/>
  <c r="R15" i="1"/>
  <c r="W15" i="1" s="1" a="1"/>
  <c r="W15" i="1" s="1"/>
  <c r="R13" i="1"/>
  <c r="W19" i="1" l="1" a="1"/>
  <c r="W19" i="1" s="1"/>
  <c r="W14" i="1" a="1"/>
  <c r="W14" i="1" s="1"/>
  <c r="W13" i="1" a="1"/>
  <c r="W13" i="1" s="1"/>
  <c r="W18" i="1" a="1"/>
  <c r="W18" i="1" s="1"/>
  <c r="W17" i="1" a="1"/>
  <c r="W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<sst xmlns="http://schemas.openxmlformats.org/spreadsheetml/2006/main" count="65" uniqueCount="18">
  <si>
    <t>P1</t>
  </si>
  <si>
    <t>P2</t>
  </si>
  <si>
    <t>P3</t>
  </si>
  <si>
    <t>P4</t>
  </si>
  <si>
    <t>P5</t>
  </si>
  <si>
    <t>P6</t>
  </si>
  <si>
    <t>P7</t>
  </si>
  <si>
    <t>R1</t>
  </si>
  <si>
    <t>R2</t>
  </si>
  <si>
    <t>R3</t>
  </si>
  <si>
    <t>R4</t>
  </si>
  <si>
    <t>R5</t>
  </si>
  <si>
    <t>Allocated</t>
  </si>
  <si>
    <t>Max Need</t>
  </si>
  <si>
    <t>Need</t>
  </si>
  <si>
    <t>Max Avail</t>
  </si>
  <si>
    <t>Immed Available</t>
  </si>
  <si>
    <t>Executable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</si>
</sst>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4FFAE7EF-2C95-4E83-A4CB-9BB5EEBE28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62CC-45E3-4903-A59D-730E6A7D77DB}">
  <dimension ref="A1:X20"/>
  <sheetViews>
    <sheetView tabSelected="1" workbookViewId="0">
      <selection activeCell="W21" sqref="W21"/>
    </sheetView>
  </sheetViews>
  <sheetFormatPr defaultRowHeight="15" x14ac:dyDescent="0.25"/>
  <cols>
    <col min="1" max="22" width="4.28515625" style="1" customWidth="1"/>
  </cols>
  <sheetData>
    <row r="1" spans="3:24" x14ac:dyDescent="0.25">
      <c r="C1" s="9"/>
      <c r="D1" s="7" t="s">
        <v>13</v>
      </c>
      <c r="E1" s="5"/>
      <c r="F1" s="5"/>
      <c r="G1" s="5"/>
      <c r="H1" s="8"/>
      <c r="K1" s="4" t="s">
        <v>12</v>
      </c>
      <c r="L1" s="2"/>
      <c r="M1" s="2"/>
      <c r="N1" s="2"/>
      <c r="O1" s="6"/>
      <c r="Q1" s="25"/>
      <c r="R1" s="11" t="s">
        <v>14</v>
      </c>
      <c r="S1" s="11"/>
      <c r="T1" s="11"/>
      <c r="U1" s="11"/>
      <c r="V1" s="11"/>
    </row>
    <row r="2" spans="3:24" ht="15.75" thickBot="1" x14ac:dyDescent="0.3">
      <c r="C2" s="24"/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Q2" s="24"/>
      <c r="R2" s="3" t="s">
        <v>7</v>
      </c>
      <c r="S2" s="3" t="s">
        <v>8</v>
      </c>
      <c r="T2" s="3" t="s">
        <v>9</v>
      </c>
      <c r="U2" s="3" t="s">
        <v>10</v>
      </c>
      <c r="V2" s="3" t="s">
        <v>11</v>
      </c>
    </row>
    <row r="3" spans="3:24" x14ac:dyDescent="0.25">
      <c r="C3" s="23" t="s">
        <v>0</v>
      </c>
      <c r="D3" s="12">
        <v>3</v>
      </c>
      <c r="E3" s="13">
        <v>0</v>
      </c>
      <c r="F3" s="13">
        <v>3</v>
      </c>
      <c r="G3" s="13">
        <v>1</v>
      </c>
      <c r="H3" s="14">
        <v>4</v>
      </c>
      <c r="J3" s="23" t="s">
        <v>0</v>
      </c>
      <c r="K3" s="12">
        <v>1</v>
      </c>
      <c r="L3" s="13">
        <v>0</v>
      </c>
      <c r="M3" s="13">
        <v>2</v>
      </c>
      <c r="N3" s="13">
        <v>1</v>
      </c>
      <c r="O3" s="14">
        <v>2</v>
      </c>
      <c r="Q3" s="23" t="s">
        <v>0</v>
      </c>
      <c r="R3" s="12">
        <f>D3-K3</f>
        <v>2</v>
      </c>
      <c r="S3" s="13">
        <f>E3-L3</f>
        <v>0</v>
      </c>
      <c r="T3" s="13">
        <f>F3-M3</f>
        <v>1</v>
      </c>
      <c r="U3" s="13">
        <f>G3-N3</f>
        <v>0</v>
      </c>
      <c r="V3" s="14">
        <f>H3-O3</f>
        <v>2</v>
      </c>
    </row>
    <row r="4" spans="3:24" x14ac:dyDescent="0.25">
      <c r="C4" s="23" t="s">
        <v>1</v>
      </c>
      <c r="D4" s="15">
        <v>2</v>
      </c>
      <c r="E4" s="10">
        <v>5</v>
      </c>
      <c r="F4" s="10">
        <v>0</v>
      </c>
      <c r="G4" s="10">
        <v>5</v>
      </c>
      <c r="H4" s="16">
        <v>5</v>
      </c>
      <c r="J4" s="23" t="s">
        <v>1</v>
      </c>
      <c r="K4" s="15">
        <v>2</v>
      </c>
      <c r="L4" s="10">
        <v>0</v>
      </c>
      <c r="M4" s="10">
        <v>0</v>
      </c>
      <c r="N4" s="10">
        <v>2</v>
      </c>
      <c r="O4" s="16">
        <v>2</v>
      </c>
      <c r="Q4" s="23" t="s">
        <v>1</v>
      </c>
      <c r="R4" s="15">
        <f>D4-K4</f>
        <v>0</v>
      </c>
      <c r="S4" s="10">
        <f>E4-L4</f>
        <v>5</v>
      </c>
      <c r="T4" s="10">
        <f>F4-M4</f>
        <v>0</v>
      </c>
      <c r="U4" s="10">
        <f>G4-N4</f>
        <v>3</v>
      </c>
      <c r="V4" s="16">
        <f>H4-O4</f>
        <v>3</v>
      </c>
    </row>
    <row r="5" spans="3:24" x14ac:dyDescent="0.25">
      <c r="C5" s="23" t="s">
        <v>2</v>
      </c>
      <c r="D5" s="15">
        <v>0</v>
      </c>
      <c r="E5" s="10">
        <v>0</v>
      </c>
      <c r="F5" s="10">
        <v>1</v>
      </c>
      <c r="G5" s="10">
        <v>0</v>
      </c>
      <c r="H5" s="16">
        <v>3</v>
      </c>
      <c r="J5" s="23" t="s">
        <v>2</v>
      </c>
      <c r="K5" s="15">
        <v>0</v>
      </c>
      <c r="L5" s="10">
        <v>0</v>
      </c>
      <c r="M5" s="10">
        <v>1</v>
      </c>
      <c r="N5" s="10">
        <v>0</v>
      </c>
      <c r="O5" s="16">
        <v>2</v>
      </c>
      <c r="Q5" s="23" t="s">
        <v>2</v>
      </c>
      <c r="R5" s="15">
        <f>D5-K5</f>
        <v>0</v>
      </c>
      <c r="S5" s="10">
        <f>E5-L5</f>
        <v>0</v>
      </c>
      <c r="T5" s="10">
        <f>F5-M5</f>
        <v>0</v>
      </c>
      <c r="U5" s="10">
        <f>G5-N5</f>
        <v>0</v>
      </c>
      <c r="V5" s="16">
        <f>H5-O5</f>
        <v>1</v>
      </c>
    </row>
    <row r="6" spans="3:24" x14ac:dyDescent="0.25">
      <c r="C6" s="23" t="s">
        <v>3</v>
      </c>
      <c r="D6" s="15">
        <v>2</v>
      </c>
      <c r="E6" s="10">
        <v>3</v>
      </c>
      <c r="F6" s="10">
        <v>2</v>
      </c>
      <c r="G6" s="10">
        <v>5</v>
      </c>
      <c r="H6" s="16">
        <v>2</v>
      </c>
      <c r="J6" s="23" t="s">
        <v>3</v>
      </c>
      <c r="K6" s="15">
        <v>2</v>
      </c>
      <c r="L6" s="10">
        <v>3</v>
      </c>
      <c r="M6" s="10">
        <v>1</v>
      </c>
      <c r="N6" s="10">
        <v>0</v>
      </c>
      <c r="O6" s="16">
        <v>1</v>
      </c>
      <c r="Q6" s="23" t="s">
        <v>3</v>
      </c>
      <c r="R6" s="15">
        <f>D6-K6</f>
        <v>0</v>
      </c>
      <c r="S6" s="10">
        <f>E6-L6</f>
        <v>0</v>
      </c>
      <c r="T6" s="10">
        <f>F6-M6</f>
        <v>1</v>
      </c>
      <c r="U6" s="10">
        <f>G6-N6</f>
        <v>5</v>
      </c>
      <c r="V6" s="16">
        <f>H6-O6</f>
        <v>1</v>
      </c>
    </row>
    <row r="7" spans="3:24" x14ac:dyDescent="0.25">
      <c r="C7" s="23" t="s">
        <v>4</v>
      </c>
      <c r="D7" s="15">
        <v>2</v>
      </c>
      <c r="E7" s="10">
        <v>5</v>
      </c>
      <c r="F7" s="10">
        <v>3</v>
      </c>
      <c r="G7" s="10">
        <v>2</v>
      </c>
      <c r="H7" s="16">
        <v>3</v>
      </c>
      <c r="J7" s="23" t="s">
        <v>4</v>
      </c>
      <c r="K7" s="15">
        <v>1</v>
      </c>
      <c r="L7" s="10">
        <v>2</v>
      </c>
      <c r="M7" s="10">
        <v>2</v>
      </c>
      <c r="N7" s="10">
        <v>2</v>
      </c>
      <c r="O7" s="16">
        <v>0</v>
      </c>
      <c r="Q7" s="23" t="s">
        <v>4</v>
      </c>
      <c r="R7" s="15">
        <f>D7-K7</f>
        <v>1</v>
      </c>
      <c r="S7" s="10">
        <f>E7-L7</f>
        <v>3</v>
      </c>
      <c r="T7" s="10">
        <f>F7-M7</f>
        <v>1</v>
      </c>
      <c r="U7" s="10">
        <f>G7-N7</f>
        <v>0</v>
      </c>
      <c r="V7" s="16">
        <f>H7-O7</f>
        <v>3</v>
      </c>
    </row>
    <row r="8" spans="3:24" x14ac:dyDescent="0.25">
      <c r="C8" s="9" t="s">
        <v>5</v>
      </c>
      <c r="D8" s="15">
        <v>4</v>
      </c>
      <c r="E8" s="10">
        <v>2</v>
      </c>
      <c r="F8" s="10">
        <v>2</v>
      </c>
      <c r="G8" s="10">
        <v>4</v>
      </c>
      <c r="H8" s="16">
        <v>2</v>
      </c>
      <c r="J8" s="9" t="s">
        <v>5</v>
      </c>
      <c r="K8" s="15">
        <v>3</v>
      </c>
      <c r="L8" s="10">
        <v>2</v>
      </c>
      <c r="M8" s="10">
        <v>1</v>
      </c>
      <c r="N8" s="10">
        <v>1</v>
      </c>
      <c r="O8" s="16">
        <v>0</v>
      </c>
      <c r="Q8" s="9" t="s">
        <v>5</v>
      </c>
      <c r="R8" s="15">
        <f>D8-K8</f>
        <v>1</v>
      </c>
      <c r="S8" s="10">
        <f>E8-L8</f>
        <v>0</v>
      </c>
      <c r="T8" s="10">
        <f>F8-M8</f>
        <v>1</v>
      </c>
      <c r="U8" s="10">
        <f>G8-N8</f>
        <v>3</v>
      </c>
      <c r="V8" s="16">
        <f>H8-O8</f>
        <v>2</v>
      </c>
    </row>
    <row r="9" spans="3:24" ht="15.75" thickBot="1" x14ac:dyDescent="0.3">
      <c r="C9" s="23" t="s">
        <v>6</v>
      </c>
      <c r="D9" s="17">
        <v>0</v>
      </c>
      <c r="E9" s="18">
        <v>0</v>
      </c>
      <c r="F9" s="18">
        <v>3</v>
      </c>
      <c r="G9" s="18">
        <v>5</v>
      </c>
      <c r="H9" s="19">
        <v>5</v>
      </c>
      <c r="J9" s="23" t="s">
        <v>6</v>
      </c>
      <c r="K9" s="17">
        <v>0</v>
      </c>
      <c r="L9" s="18">
        <v>0</v>
      </c>
      <c r="M9" s="18">
        <v>1</v>
      </c>
      <c r="N9" s="18">
        <v>2</v>
      </c>
      <c r="O9" s="19">
        <v>1</v>
      </c>
      <c r="Q9" s="23" t="s">
        <v>6</v>
      </c>
      <c r="R9" s="17">
        <f>D9-K9</f>
        <v>0</v>
      </c>
      <c r="S9" s="18">
        <f>E9-L9</f>
        <v>0</v>
      </c>
      <c r="T9" s="18">
        <f>F9-M9</f>
        <v>2</v>
      </c>
      <c r="U9" s="18">
        <f>G9-N9</f>
        <v>3</v>
      </c>
      <c r="V9" s="19">
        <f>H9-O9</f>
        <v>4</v>
      </c>
    </row>
    <row r="10" spans="3:24" x14ac:dyDescent="0.25">
      <c r="K10" s="26">
        <f>SUM(K3:K9)</f>
        <v>9</v>
      </c>
      <c r="L10" s="26">
        <f t="shared" ref="L10:O10" si="0">SUM(L3:L9)</f>
        <v>7</v>
      </c>
      <c r="M10" s="26">
        <f t="shared" si="0"/>
        <v>8</v>
      </c>
      <c r="N10" s="26">
        <f t="shared" si="0"/>
        <v>8</v>
      </c>
      <c r="O10" s="26">
        <f t="shared" si="0"/>
        <v>8</v>
      </c>
      <c r="S10" s="9"/>
      <c r="T10" s="9"/>
      <c r="U10" s="9"/>
      <c r="V10" s="9"/>
    </row>
    <row r="11" spans="3:24" x14ac:dyDescent="0.25">
      <c r="D11" s="7" t="s">
        <v>15</v>
      </c>
      <c r="E11" s="5"/>
      <c r="F11" s="5"/>
      <c r="G11" s="5"/>
      <c r="H11" s="8"/>
      <c r="K11" s="7" t="s">
        <v>16</v>
      </c>
      <c r="L11" s="5"/>
      <c r="M11" s="5"/>
      <c r="N11" s="5"/>
      <c r="O11" s="8"/>
      <c r="R11" s="11" t="s">
        <v>17</v>
      </c>
      <c r="S11" s="11"/>
      <c r="T11" s="11"/>
      <c r="U11" s="11"/>
      <c r="V11" s="11"/>
      <c r="W11" s="1"/>
      <c r="X11" s="1"/>
    </row>
    <row r="12" spans="3:24" ht="15.75" thickBot="1" x14ac:dyDescent="0.3">
      <c r="D12" s="3" t="s">
        <v>7</v>
      </c>
      <c r="E12" s="3" t="s">
        <v>8</v>
      </c>
      <c r="F12" s="3" t="s">
        <v>9</v>
      </c>
      <c r="G12" s="3" t="s">
        <v>10</v>
      </c>
      <c r="H12" s="3" t="s">
        <v>11</v>
      </c>
      <c r="K12" s="3" t="s">
        <v>7</v>
      </c>
      <c r="L12" s="3" t="s">
        <v>8</v>
      </c>
      <c r="M12" s="3" t="s">
        <v>9</v>
      </c>
      <c r="N12" s="3" t="s">
        <v>10</v>
      </c>
      <c r="O12" s="3" t="s">
        <v>11</v>
      </c>
      <c r="R12" s="3" t="s">
        <v>7</v>
      </c>
      <c r="S12" s="3" t="s">
        <v>8</v>
      </c>
      <c r="T12" s="3" t="s">
        <v>9</v>
      </c>
      <c r="U12" s="3" t="s">
        <v>10</v>
      </c>
      <c r="V12" s="3" t="s">
        <v>11</v>
      </c>
      <c r="W12" s="1"/>
      <c r="X12" s="1"/>
    </row>
    <row r="13" spans="3:24" ht="15.75" thickBot="1" x14ac:dyDescent="0.3">
      <c r="D13" s="20">
        <v>15</v>
      </c>
      <c r="E13" s="21">
        <v>13</v>
      </c>
      <c r="F13" s="21">
        <v>10</v>
      </c>
      <c r="G13" s="21">
        <v>12</v>
      </c>
      <c r="H13" s="22">
        <v>10</v>
      </c>
      <c r="K13" s="20">
        <f>D13-K10</f>
        <v>6</v>
      </c>
      <c r="L13" s="21">
        <f>E13-L10</f>
        <v>6</v>
      </c>
      <c r="M13" s="21">
        <f>F13-M10</f>
        <v>2</v>
      </c>
      <c r="N13" s="21">
        <f>G13-N10</f>
        <v>4</v>
      </c>
      <c r="O13" s="22">
        <f>H13-O10</f>
        <v>2</v>
      </c>
      <c r="Q13" s="23" t="s">
        <v>0</v>
      </c>
      <c r="R13" s="12">
        <f>$K$13-R3</f>
        <v>4</v>
      </c>
      <c r="S13" s="13">
        <f>$L$13-S3</f>
        <v>6</v>
      </c>
      <c r="T13" s="13">
        <f>$M$13-T3</f>
        <v>1</v>
      </c>
      <c r="U13" s="13">
        <f>$N$13-U3</f>
        <v>4</v>
      </c>
      <c r="V13" s="14">
        <f>$O$13-V3</f>
        <v>0</v>
      </c>
      <c r="W13" s="1" t="str" cm="1">
        <f t="array" ref="W13">_xlfn.IFS((OR(R13&lt;=0,S13&lt;=0,T13&lt;=0,U13&lt;=0,V13&lt;=0)),"No", (OR(R13&gt;0,S13&gt;0,T13&gt;0,U13&gt;0,V13&gt;0)),"Yes")</f>
        <v>No</v>
      </c>
      <c r="X13" s="1"/>
    </row>
    <row r="14" spans="3:24" x14ac:dyDescent="0.25">
      <c r="Q14" s="23" t="s">
        <v>1</v>
      </c>
      <c r="R14" s="15">
        <f>$K$13-R4</f>
        <v>6</v>
      </c>
      <c r="S14" s="10">
        <f>$L$13-S4</f>
        <v>1</v>
      </c>
      <c r="T14" s="10">
        <f>$M$13-T4</f>
        <v>2</v>
      </c>
      <c r="U14" s="10">
        <f>$N$13-U4</f>
        <v>1</v>
      </c>
      <c r="V14" s="16">
        <f>$O$13-V4</f>
        <v>-1</v>
      </c>
      <c r="W14" s="1" t="str" cm="1">
        <f t="array" ref="W14">_xlfn.IFS((OR(R14&lt;=0,S14&lt;=0,T14&lt;=0,U14&lt;=0,V14&lt;=0)),"No", (OR(R14&gt;0,S14&gt;0,T14&gt;0,U14&gt;0,V14&gt;0)),"Yes")</f>
        <v>No</v>
      </c>
      <c r="X14" s="1"/>
    </row>
    <row r="15" spans="3:24" x14ac:dyDescent="0.25">
      <c r="Q15" s="23" t="s">
        <v>2</v>
      </c>
      <c r="R15" s="15">
        <f>$K$13-R5</f>
        <v>6</v>
      </c>
      <c r="S15" s="10">
        <f>$L$13-S5</f>
        <v>6</v>
      </c>
      <c r="T15" s="10">
        <f>$M$13-T5</f>
        <v>2</v>
      </c>
      <c r="U15" s="10">
        <f>$N$13-U5</f>
        <v>4</v>
      </c>
      <c r="V15" s="16">
        <f>$O$13-V5</f>
        <v>1</v>
      </c>
      <c r="W15" s="1" t="str" cm="1">
        <f t="array" ref="W15">_xlfn.IFS((OR(R15&lt;=0,S15&lt;=0,T15&lt;=0,U15&lt;=0,V15&lt;=0)),"No", (OR(R15&gt;0,S15&gt;0,T15&gt;0,U15&gt;0,V15&gt;0)),"Yes")</f>
        <v>Yes</v>
      </c>
      <c r="X15" s="1" t="s">
        <v>2</v>
      </c>
    </row>
    <row r="16" spans="3:24" x14ac:dyDescent="0.25">
      <c r="Q16" s="23" t="s">
        <v>3</v>
      </c>
      <c r="R16" s="15">
        <f>$K$13-R6</f>
        <v>6</v>
      </c>
      <c r="S16" s="10">
        <f>$L$13-S6</f>
        <v>6</v>
      </c>
      <c r="T16" s="10">
        <f>$M$13-T6</f>
        <v>1</v>
      </c>
      <c r="U16" s="10">
        <f>$N$13-U6</f>
        <v>-1</v>
      </c>
      <c r="V16" s="16">
        <f>$O$13-V6</f>
        <v>1</v>
      </c>
      <c r="W16" s="1" t="str" cm="1">
        <f t="array" ref="W16">_xlfn.IFS((OR(R16&lt;=0,S16&lt;=0,T16&lt;=0,U16&lt;=0,V16&lt;=0)),"No", (OR(R16&gt;0,S16&gt;0,T16&gt;0,U16&gt;0,V16&gt;0)),"Yes")</f>
        <v>No</v>
      </c>
      <c r="X16" s="1"/>
    </row>
    <row r="17" spans="17:24" x14ac:dyDescent="0.25">
      <c r="Q17" s="23" t="s">
        <v>4</v>
      </c>
      <c r="R17" s="15">
        <f>$K$13-R7</f>
        <v>5</v>
      </c>
      <c r="S17" s="10">
        <f>$L$13-S7</f>
        <v>3</v>
      </c>
      <c r="T17" s="10">
        <f>$M$13-T7</f>
        <v>1</v>
      </c>
      <c r="U17" s="10">
        <f>$N$13-U7</f>
        <v>4</v>
      </c>
      <c r="V17" s="16">
        <f>$O$13-V7</f>
        <v>-1</v>
      </c>
      <c r="W17" s="1" t="str" cm="1">
        <f t="array" ref="W17">_xlfn.IFS((OR(R17&lt;=0,S17&lt;=0,T17&lt;=0,U17&lt;=0,V17&lt;=0)),"No", (OR(R17&gt;0,S17&gt;0,T17&gt;0,U17&gt;0,V17&gt;0)),"Yes")</f>
        <v>No</v>
      </c>
      <c r="X17" s="1"/>
    </row>
    <row r="18" spans="17:24" x14ac:dyDescent="0.25">
      <c r="Q18" s="9" t="s">
        <v>5</v>
      </c>
      <c r="R18" s="15">
        <f>$K$13-R8</f>
        <v>5</v>
      </c>
      <c r="S18" s="10">
        <f>$L$13-S8</f>
        <v>6</v>
      </c>
      <c r="T18" s="10">
        <f>$M$13-T8</f>
        <v>1</v>
      </c>
      <c r="U18" s="10">
        <f>$N$13-U8</f>
        <v>1</v>
      </c>
      <c r="V18" s="16">
        <f>$O$13-V8</f>
        <v>0</v>
      </c>
      <c r="W18" s="1" t="str" cm="1">
        <f t="array" ref="W18">_xlfn.IFS((OR(R18&lt;=0,S18&lt;=0,T18&lt;=0,U18&lt;=0,V18&lt;=0)),"No", (OR(R18&gt;0,S18&gt;0,T18&gt;0,U18&gt;0,V18&gt;0)),"Yes")</f>
        <v>No</v>
      </c>
      <c r="X18" s="1"/>
    </row>
    <row r="19" spans="17:24" ht="15.75" thickBot="1" x14ac:dyDescent="0.3">
      <c r="Q19" s="23" t="s">
        <v>6</v>
      </c>
      <c r="R19" s="17">
        <f>$K$13-R9</f>
        <v>6</v>
      </c>
      <c r="S19" s="18">
        <f>$L$13-S9</f>
        <v>6</v>
      </c>
      <c r="T19" s="18">
        <f>$M$13-T9</f>
        <v>0</v>
      </c>
      <c r="U19" s="18">
        <f>$N$13-U9</f>
        <v>1</v>
      </c>
      <c r="V19" s="19">
        <f>$O$13-V9</f>
        <v>-2</v>
      </c>
      <c r="W19" s="1" t="str" cm="1">
        <f t="array" ref="W19">_xlfn.IFS((OR(R19&lt;=0,S19&lt;=0,T19&lt;=0,U19&lt;=0,V19&lt;=0)),"No", (OR(R19&gt;0,S19&gt;0,T19&gt;0,U19&gt;0,V19&gt;0)),"Yes")</f>
        <v>No</v>
      </c>
      <c r="X19" s="1"/>
    </row>
    <row r="20" spans="17:24" x14ac:dyDescent="0.25">
      <c r="S20" s="9"/>
    </row>
  </sheetData>
  <mergeCells count="6">
    <mergeCell ref="R11:V11"/>
    <mergeCell ref="D11:H11"/>
    <mergeCell ref="K11:O11"/>
    <mergeCell ref="R1:V1"/>
    <mergeCell ref="K1:O1"/>
    <mergeCell ref="D1:H1"/>
  </mergeCells>
  <phoneticPr fontId="1" type="noConversion"/>
  <conditionalFormatting sqref="W13:W19">
    <cfRule type="containsText" dxfId="1" priority="3" operator="containsText" text="Yes">
      <formula>NOT(ISERROR(SEARCH("Yes",W13)))</formula>
    </cfRule>
    <cfRule type="containsText" dxfId="0" priority="4" operator="containsText" text="No">
      <formula>NOT(ISERROR(SEARCH("No",W13)))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LTC Merrill</dc:creator>
  <cp:lastModifiedBy>LTC Merrill</cp:lastModifiedBy>
  <dcterms:created xsi:type="dcterms:W3CDTF">2021-02-07T17:17:11Z</dcterms:created>
  <dcterms:modified xsi:type="dcterms:W3CDTF">2021-02-07T19:12:19Z</dcterms:modified>
</cp:coreProperties>
</file>